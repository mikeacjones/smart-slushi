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tch Calculator" sheetId="1" r:id="rId4"/>
  </sheets>
  <definedNames/>
  <calcPr/>
  <extLst>
    <ext uri="GoogleSheetsCustomDataVersion2">
      <go:sheetsCustomData xmlns:go="http://customooxmlschemas.google.com/" r:id="rId5" roundtripDataChecksum="ANd4ZtUlq4CDCG9xqSRO0JYSKd1fQ6BeUwQSaKfxaO0="/>
    </ext>
  </extLst>
</workbook>
</file>

<file path=xl/sharedStrings.xml><?xml version="1.0" encoding="utf-8"?>
<sst xmlns="http://schemas.openxmlformats.org/spreadsheetml/2006/main" count="23" uniqueCount="22">
  <si>
    <t>Slush Machines Barrel Temp (°C)</t>
  </si>
  <si>
    <t>Low (Chill mode)</t>
  </si>
  <si>
    <t>ABV (%)</t>
  </si>
  <si>
    <t>Optimal Bix (Chill Mode)</t>
  </si>
  <si>
    <t xml:space="preserve">Optimal Brix </t>
  </si>
  <si>
    <t>Est Freezing Point</t>
  </si>
  <si>
    <t>High (Freeze Mode)</t>
  </si>
  <si>
    <t>Ingredient</t>
  </si>
  <si>
    <t>Volume (ml)</t>
  </si>
  <si>
    <t>Brix (%)</t>
  </si>
  <si>
    <t>White Rum (40% ABV)</t>
  </si>
  <si>
    <t>Coconut Cream (e.g. Coco Lopez)</t>
  </si>
  <si>
    <t>Pineapple Juice</t>
  </si>
  <si>
    <t>Water</t>
  </si>
  <si>
    <t>Lime Juice (fresh)</t>
  </si>
  <si>
    <r>
      <rPr>
        <rFont val="Calibri"/>
        <b/>
        <color theme="1"/>
        <sz val="11.0"/>
      </rPr>
      <t>Unless you have a powerful refrigeration unit the max feasible ABV for a slushie drink is around 10% ABV.</t>
    </r>
    <r>
      <rPr>
        <rFont val="Calibri"/>
        <color theme="1"/>
        <sz val="11.0"/>
      </rPr>
      <t xml:space="preserve">
At 10% ABV, the solution starts freezing around –5 °C, but only partially. As ABV increases, the freezing point drops further, and the percentage of water that freezes shrinks — leaving you with a thin, soupy slush at best.
Most slush machines chill the mix to ~2–4 °C warmer than the barrel sensor. So:
A –10 °C barrel means the mix freezes at ~–6 to –8 °C
If your drink freezes at –9 °C or lower, it won’t slush </t>
    </r>
  </si>
  <si>
    <t xml:space="preserve">TOTAL Volume (ml) </t>
  </si>
  <si>
    <t>Final ABV (%)</t>
  </si>
  <si>
    <t xml:space="preserve">Final Brix </t>
  </si>
  <si>
    <t>Estimated Freezing Point (°C)</t>
  </si>
  <si>
    <t>Slush Point (°C)</t>
  </si>
  <si>
    <t>Suitability &amp; Warning 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</si>
</sst>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/>
    <font>
      <color theme="1"/>
      <name val="Calibri"/>
      <scheme val="minor"/>
    </font>
    <font>
      <b/>
      <sz val="11.0"/>
      <color theme="1"/>
      <name val="Calibri"/>
    </font>
    <font>
      <b/>
      <sz val="11.0"/>
      <color theme="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6D9F0"/>
        <bgColor rgb="FFC6D9F0"/>
      </patternFill>
    </fill>
    <fill>
      <patternFill patternType="solid">
        <fgColor rgb="FF548DD4"/>
        <bgColor rgb="FF548DD4"/>
      </patternFill>
    </fill>
    <fill>
      <patternFill patternType="solid">
        <fgColor rgb="FFEAF1DD"/>
        <bgColor rgb="FFEAF1DD"/>
      </patternFill>
    </fill>
    <fill>
      <patternFill patternType="solid">
        <fgColor theme="8"/>
        <bgColor theme="8"/>
      </patternFill>
    </fill>
    <fill>
      <patternFill patternType="solid">
        <fgColor rgb="FFDAEEF3"/>
        <bgColor rgb="FFDAEEF3"/>
      </patternFill>
    </fill>
    <fill>
      <patternFill patternType="solid">
        <fgColor rgb="FFE5DFEC"/>
        <bgColor rgb="FFE5DFEC"/>
      </patternFill>
    </fill>
    <fill>
      <patternFill patternType="solid">
        <fgColor rgb="FFE36C09"/>
        <bgColor rgb="FFE36C09"/>
      </patternFill>
    </fill>
  </fills>
  <borders count="47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/>
    </xf>
    <xf borderId="3" fillId="0" fontId="3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4" numFmtId="0" xfId="0" applyFont="1"/>
    <xf borderId="7" fillId="0" fontId="3" numFmtId="0" xfId="0" applyBorder="1" applyFont="1"/>
    <xf borderId="8" fillId="4" fontId="2" numFmtId="0" xfId="0" applyAlignment="1" applyBorder="1" applyFill="1" applyFont="1">
      <alignment horizontal="center"/>
    </xf>
    <xf borderId="9" fillId="0" fontId="3" numFmtId="0" xfId="0" applyBorder="1" applyFont="1"/>
    <xf borderId="10" fillId="0" fontId="2" numFmtId="0" xfId="0" applyBorder="1" applyFont="1"/>
    <xf borderId="11" fillId="5" fontId="5" numFmtId="0" xfId="0" applyBorder="1" applyFill="1" applyFont="1"/>
    <xf borderId="12" fillId="5" fontId="5" numFmtId="164" xfId="0" applyBorder="1" applyFont="1" applyNumberFormat="1"/>
    <xf borderId="13" fillId="5" fontId="5" numFmtId="164" xfId="0" applyBorder="1" applyFont="1" applyNumberFormat="1"/>
    <xf borderId="0" fillId="0" fontId="2" numFmtId="0" xfId="0" applyAlignment="1" applyFont="1">
      <alignment horizontal="center"/>
    </xf>
    <xf borderId="14" fillId="6" fontId="6" numFmtId="0" xfId="0" applyBorder="1" applyFill="1" applyFont="1"/>
    <xf borderId="15" fillId="6" fontId="6" numFmtId="0" xfId="0" applyBorder="1" applyFont="1"/>
    <xf borderId="16" fillId="6" fontId="6" numFmtId="0" xfId="0" applyBorder="1" applyFont="1"/>
    <xf borderId="17" fillId="0" fontId="5" numFmtId="0" xfId="0" applyBorder="1" applyFont="1"/>
    <xf borderId="0" fillId="0" fontId="5" numFmtId="164" xfId="0" applyFont="1" applyNumberFormat="1"/>
    <xf borderId="18" fillId="0" fontId="5" numFmtId="164" xfId="0" applyBorder="1" applyFont="1" applyNumberFormat="1"/>
    <xf borderId="19" fillId="7" fontId="2" numFmtId="0" xfId="0" applyBorder="1" applyFill="1" applyFont="1"/>
    <xf borderId="20" fillId="7" fontId="2" numFmtId="0" xfId="0" applyAlignment="1" applyBorder="1" applyFont="1">
      <alignment readingOrder="0"/>
    </xf>
    <xf borderId="20" fillId="7" fontId="2" numFmtId="0" xfId="0" applyBorder="1" applyFont="1"/>
    <xf borderId="21" fillId="7" fontId="2" numFmtId="0" xfId="0" applyBorder="1" applyFont="1"/>
    <xf borderId="22" fillId="5" fontId="5" numFmtId="0" xfId="0" applyBorder="1" applyFont="1"/>
    <xf borderId="23" fillId="5" fontId="5" numFmtId="164" xfId="0" applyBorder="1" applyFont="1" applyNumberFormat="1"/>
    <xf borderId="24" fillId="5" fontId="5" numFmtId="164" xfId="0" applyBorder="1" applyFont="1" applyNumberForma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5" fillId="5" fontId="5" numFmtId="0" xfId="0" applyBorder="1" applyFont="1"/>
    <xf borderId="26" fillId="5" fontId="5" numFmtId="164" xfId="0" applyBorder="1" applyFont="1" applyNumberFormat="1"/>
    <xf borderId="27" fillId="5" fontId="5" numFmtId="164" xfId="0" applyBorder="1" applyFont="1" applyNumberFormat="1"/>
    <xf borderId="5" fillId="0" fontId="5" numFmtId="0" xfId="0" applyBorder="1" applyFont="1"/>
    <xf borderId="28" fillId="0" fontId="5" numFmtId="164" xfId="0" applyBorder="1" applyFont="1" applyNumberFormat="1"/>
    <xf borderId="6" fillId="0" fontId="5" numFmtId="164" xfId="0" applyBorder="1" applyFont="1" applyNumberFormat="1"/>
    <xf borderId="29" fillId="0" fontId="5" numFmtId="0" xfId="0" applyBorder="1" applyFont="1"/>
    <xf borderId="30" fillId="0" fontId="5" numFmtId="164" xfId="0" applyBorder="1" applyFont="1" applyNumberFormat="1"/>
    <xf borderId="31" fillId="0" fontId="5" numFmtId="164" xfId="0" applyBorder="1" applyFont="1" applyNumberFormat="1"/>
    <xf borderId="5" fillId="2" fontId="2" numFmtId="0" xfId="0" applyAlignment="1" applyBorder="1" applyFont="1">
      <alignment horizontal="center" shrinkToFit="0" vertical="center" wrapText="1"/>
    </xf>
    <xf borderId="28" fillId="0" fontId="3" numFmtId="0" xfId="0" applyBorder="1" applyFont="1"/>
    <xf borderId="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32" fillId="0" fontId="2" numFmtId="0" xfId="0" applyBorder="1" applyFont="1"/>
    <xf borderId="33" fillId="0" fontId="2" numFmtId="0" xfId="0" applyBorder="1" applyFont="1"/>
    <xf borderId="34" fillId="0" fontId="2" numFmtId="0" xfId="0" applyBorder="1" applyFont="1"/>
    <xf borderId="35" fillId="8" fontId="1" numFmtId="0" xfId="0" applyBorder="1" applyFill="1" applyFont="1"/>
    <xf borderId="2" fillId="8" fontId="1" numFmtId="0" xfId="0" applyAlignment="1" applyBorder="1" applyFont="1">
      <alignment horizontal="center"/>
    </xf>
    <xf borderId="36" fillId="0" fontId="3" numFmtId="0" xfId="0" applyBorder="1" applyFont="1"/>
    <xf borderId="37" fillId="0" fontId="3" numFmtId="0" xfId="0" applyBorder="1" applyFont="1"/>
    <xf borderId="19" fillId="0" fontId="1" numFmtId="0" xfId="0" applyBorder="1" applyFont="1"/>
    <xf borderId="38" fillId="0" fontId="1" numFmtId="164" xfId="0" applyAlignment="1" applyBorder="1" applyFont="1" applyNumberFormat="1">
      <alignment horizontal="center"/>
    </xf>
    <xf borderId="39" fillId="0" fontId="3" numFmtId="0" xfId="0" applyBorder="1" applyFont="1"/>
    <xf borderId="40" fillId="0" fontId="3" numFmtId="0" xfId="0" applyBorder="1" applyFont="1"/>
    <xf borderId="19" fillId="8" fontId="1" numFmtId="0" xfId="0" applyBorder="1" applyFont="1"/>
    <xf borderId="38" fillId="8" fontId="1" numFmtId="164" xfId="0" applyAlignment="1" applyBorder="1" applyFont="1" applyNumberFormat="1">
      <alignment horizontal="center"/>
    </xf>
    <xf borderId="32" fillId="0" fontId="1" numFmtId="0" xfId="0" applyAlignment="1" applyBorder="1" applyFont="1">
      <alignment horizontal="center" vertical="center"/>
    </xf>
    <xf borderId="41" fillId="9" fontId="1" numFmtId="164" xfId="0" applyAlignment="1" applyBorder="1" applyFill="1" applyFont="1" applyNumberFormat="1">
      <alignment horizontal="center" shrinkToFit="0" vertical="center" wrapText="1"/>
    </xf>
    <xf borderId="42" fillId="0" fontId="3" numFmtId="0" xfId="0" applyBorder="1" applyFont="1"/>
    <xf borderId="43" fillId="0" fontId="3" numFmtId="0" xfId="0" applyBorder="1" applyFont="1"/>
    <xf borderId="44" fillId="0" fontId="3" numFmtId="0" xfId="0" applyBorder="1" applyFont="1"/>
    <xf borderId="45" fillId="0" fontId="3" numFmtId="0" xfId="0" applyBorder="1" applyFont="1"/>
    <xf borderId="46" fillId="0" fontId="3" numFmtId="0" xfId="0" applyBorder="1" applyFont="1"/>
    <xf borderId="30" fillId="0" fontId="3" numFmtId="0" xfId="0" applyBorder="1" applyFont="1"/>
    <xf borderId="31" fillId="0" fontId="3" numFmtId="0" xfId="0" applyBorder="1" applyFont="1"/>
    <xf borderId="29" fillId="0" fontId="3" numFmtId="0" xfId="0" applyBorder="1" applyFont="1"/>
  </cellXfs>
  <cellStyles count="1">
    <cellStyle xfId="0" name="Normal" builtinId="0"/>
  </cellStyles>
  <dxfs count="6"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BD4B4"/>
          <bgColor rgb="FFFBD4B4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E5DFEC"/>
          <bgColor rgb="FFE5DFEC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1">
    <tableStyle count="3" pivot="0" name="Batch Calculator-style">
      <tableStyleElement dxfId="3" type="headerRow"/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28575</xdr:colOff>
      <xdr:row>1</xdr:row>
      <xdr:rowOff>9525</xdr:rowOff>
    </xdr:from>
    <xdr:ext cx="5438775" cy="9534525"/>
    <xdr:sp>
      <xdr:nvSpPr>
        <xdr:cNvPr id="3" name="Shape 3"/>
        <xdr:cNvSpPr txBox="1"/>
      </xdr:nvSpPr>
      <xdr:spPr>
        <a:xfrm>
          <a:off x="2626613" y="0"/>
          <a:ext cx="5438775" cy="75600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 u="sng">
              <a:solidFill>
                <a:srgbClr val="00B050"/>
              </a:solidFill>
              <a:latin typeface="Calibri"/>
              <a:ea typeface="Calibri"/>
              <a:cs typeface="Calibri"/>
              <a:sym typeface="Calibri"/>
            </a:rPr>
            <a:t>How to Use This Slushie &amp; Frozen Cocktail Batching Spreadsheet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This spreadsheet is designed to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take the guesswork out of making frozen cocktails and alcoholic slushie mixes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 By calculating sugar content (°Brix), alcohol content (ABV), and estimated freezing behaviour, it helps ensure your mix will slush properly — without trial and error.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 u="sng">
              <a:solidFill>
                <a:srgbClr val="00B050"/>
              </a:solidFill>
              <a:latin typeface="Calibri"/>
              <a:ea typeface="Calibri"/>
              <a:cs typeface="Calibri"/>
              <a:sym typeface="Calibri"/>
            </a:rPr>
            <a:t>Step 1: Set Your Machine Temperatures (D1 &amp; D2)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 cells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D1 and D2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 enter the typical operating temperatures for your slush machine: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Machine TypeChill Mode Temp (D1)Freeze Mode Temp (D2)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Example values: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Home Use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machine (eg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–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Ninja Slushi) 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5 °C (chill)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–9 °C (freeze)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Commercial machine (eg SnowShock)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–6 °C (chill) –11 °C </a:t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💡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Tip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If you're unsure, use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–6 for D1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and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–10 for D2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as safe defaults. These values help the spreadsheet calculate realistic freezing and slushing points.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rgbClr val="00B050"/>
              </a:solidFill>
              <a:latin typeface="Calibri"/>
              <a:ea typeface="Calibri"/>
              <a:cs typeface="Calibri"/>
              <a:sym typeface="Calibri"/>
            </a:rPr>
            <a:t>Step 2: Enter Your Ingredients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 the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main batching table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(rows 4–26), list each ingredient: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Column A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Name of the ingredient (e.g. “White Rum”, “Pineapple Juice”)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Column B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Volume in millilitres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Column C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ABV (alcohol by volume), as a percentage (e.g. 40 for rum, 0 for juice)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Column D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Brix value (sugar content), also as a percentage</a:t>
          </a:r>
          <a:endParaRPr sz="1400"/>
        </a:p>
        <a:p>
          <a:pPr indent="0" lvl="1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💡 Use the reference sheet or Google common values (e.g. simple syrup = 50 °Bx, orange juice ≈ 12 °Bx)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 u="sng">
              <a:solidFill>
                <a:srgbClr val="00B050"/>
              </a:solidFill>
              <a:latin typeface="Calibri"/>
              <a:ea typeface="Calibri"/>
              <a:cs typeface="Calibri"/>
              <a:sym typeface="Calibri"/>
            </a:rPr>
            <a:t>Step 3: Review the Live Calculations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As you enter ingredients, the spreadsheet automatically calculates: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Total volume (ml)</a:t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Final ABV (%)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— should be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under 10%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for most slush machines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Final Brix (°Bx)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— ideal range is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13–15</a:t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Estimated Freezing Point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— when your mix begins to freeze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Slush Point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— where your mix will likely start to slush in your machine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Suitability / Warning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— shows whether your recipe is likely to slush properly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 u="sng">
              <a:solidFill>
                <a:srgbClr val="00B050"/>
              </a:solidFill>
              <a:latin typeface="Calibri"/>
              <a:ea typeface="Calibri"/>
              <a:cs typeface="Calibri"/>
              <a:sym typeface="Calibri"/>
            </a:rPr>
            <a:t> Step 4: Adjust Your Recipe as Needed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If the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warning cell (B32)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shows a red or amber message: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ABV over 10%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→ reduce spirits or add non-alcoholic mixers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Brix under 12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→ add sugar (e.g. syrup, juice, or coconut cream)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Brix over 20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→ dilute with water or juice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Slush point too cold for your machine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→ reduce alcohol first; boost sugar only if ABV is already low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 u="sng">
              <a:solidFill>
                <a:srgbClr val="00B050"/>
              </a:solidFill>
              <a:latin typeface="Calibri"/>
              <a:ea typeface="Calibri"/>
              <a:cs typeface="Calibri"/>
              <a:sym typeface="Calibri"/>
            </a:rPr>
            <a:t>📚 Optional: Use the Reference Table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The table to the right of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the ingredients list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you'll find: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Recommended Brix ranges for each ABV level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Estimated freezing points by ABV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“Optimal” Brix targets based on your machine’s temperatures (D1/D2)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Use these to design reliable batches with predictable results.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rgbClr val="00B050"/>
              </a:solidFill>
              <a:latin typeface="Calibri"/>
              <a:ea typeface="Calibri"/>
              <a:cs typeface="Calibri"/>
              <a:sym typeface="Calibri"/>
            </a:rPr>
            <a:t>🧠 Tips for Consistent Slush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TipWhy it mattersChill all ingredientsWarm batches delay freezing and strain compressorsUse a digital refractometerHelps get accurate Brix readings for juices, syrups, and puréesTest small batchesValidate consistency before scaling up to large volumes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ref="F1:I22" displayName="Table_1" name="Table_1" id="1">
  <tableColumns count="4">
    <tableColumn name="ABV (%)" id="1"/>
    <tableColumn name="Optimal Bix (Chill Mode)" id="2"/>
    <tableColumn name="Optimal Brix " id="3"/>
    <tableColumn name="Est Freezing Point" id="4"/>
  </tableColumns>
  <tableStyleInfo name="Batch Calculato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57"/>
    <col customWidth="1" min="2" max="2" width="12.14"/>
    <col customWidth="1" min="3" max="4" width="11.0"/>
    <col customWidth="1" min="5" max="5" width="4.0"/>
    <col customWidth="1" min="6" max="6" width="10.29"/>
    <col customWidth="1" min="7" max="7" width="25.57"/>
    <col customWidth="1" min="8" max="8" width="24.29"/>
    <col customWidth="1" min="9" max="9" width="8.71"/>
    <col customWidth="1" min="10" max="10" width="2.71"/>
    <col customWidth="1" min="11" max="26" width="8.71"/>
  </cols>
  <sheetData>
    <row r="1">
      <c r="A1" s="1" t="s">
        <v>0</v>
      </c>
      <c r="B1" s="2" t="s">
        <v>1</v>
      </c>
      <c r="C1" s="3"/>
      <c r="D1" s="4">
        <v>-6.0</v>
      </c>
      <c r="F1" s="5" t="s">
        <v>2</v>
      </c>
      <c r="G1" s="6" t="s">
        <v>3</v>
      </c>
      <c r="H1" s="6" t="s">
        <v>4</v>
      </c>
      <c r="I1" s="7" t="s">
        <v>5</v>
      </c>
    </row>
    <row r="2">
      <c r="A2" s="8"/>
      <c r="B2" s="9" t="s">
        <v>6</v>
      </c>
      <c r="C2" s="10"/>
      <c r="D2" s="11">
        <v>-10.0</v>
      </c>
      <c r="F2" s="12">
        <v>0.0</v>
      </c>
      <c r="G2" s="13">
        <f t="shared" ref="G2:G22" si="1">MAX(12, MIN(20, ROUND(15 - 0.25*F2, 2)))</f>
        <v>15</v>
      </c>
      <c r="H2" s="12">
        <f t="shared" ref="H2:H22" si="2">MAX(12, MIN(20, ROUND(17 - 0.25*F2, 2)))</f>
        <v>17</v>
      </c>
      <c r="I2" s="14">
        <f>IFERROR(__xludf.DUMMYFUNCTION("ROUND(-0.4 * F2, 2)"),0.0)</f>
        <v>0</v>
      </c>
      <c r="K2" s="15"/>
    </row>
    <row r="3">
      <c r="A3" s="16" t="s">
        <v>7</v>
      </c>
      <c r="B3" s="17" t="s">
        <v>8</v>
      </c>
      <c r="C3" s="17" t="s">
        <v>2</v>
      </c>
      <c r="D3" s="18" t="s">
        <v>9</v>
      </c>
      <c r="F3" s="19">
        <v>1.0</v>
      </c>
      <c r="G3" s="20">
        <f t="shared" si="1"/>
        <v>14.75</v>
      </c>
      <c r="H3" s="19">
        <f t="shared" si="2"/>
        <v>16.75</v>
      </c>
      <c r="I3" s="21">
        <f>IFERROR(__xludf.DUMMYFUNCTION("ROUND(-0.4 * F3, 2)"),-0.4)</f>
        <v>-0.4</v>
      </c>
    </row>
    <row r="4">
      <c r="A4" s="22" t="s">
        <v>10</v>
      </c>
      <c r="B4" s="23">
        <v>200.0</v>
      </c>
      <c r="C4" s="24">
        <v>40.0</v>
      </c>
      <c r="D4" s="25">
        <v>0.0</v>
      </c>
      <c r="F4" s="26">
        <v>2.0</v>
      </c>
      <c r="G4" s="27">
        <f t="shared" si="1"/>
        <v>14.5</v>
      </c>
      <c r="H4" s="26">
        <f t="shared" si="2"/>
        <v>16.5</v>
      </c>
      <c r="I4" s="28">
        <f>IFERROR(__xludf.DUMMYFUNCTION("ROUND(-0.4 * F4, 2)"),-0.8)</f>
        <v>-0.8</v>
      </c>
    </row>
    <row r="5">
      <c r="A5" s="29" t="s">
        <v>11</v>
      </c>
      <c r="B5" s="30">
        <v>400.0</v>
      </c>
      <c r="C5" s="30">
        <v>0.0</v>
      </c>
      <c r="D5" s="31">
        <v>40.0</v>
      </c>
      <c r="F5" s="19">
        <v>3.0</v>
      </c>
      <c r="G5" s="20">
        <f t="shared" si="1"/>
        <v>14.25</v>
      </c>
      <c r="H5" s="19">
        <f t="shared" si="2"/>
        <v>16.25</v>
      </c>
      <c r="I5" s="21">
        <f>IFERROR(__xludf.DUMMYFUNCTION("ROUND(-0.4 * F5, 2)"),-1.2)</f>
        <v>-1.2</v>
      </c>
    </row>
    <row r="6">
      <c r="A6" s="22" t="s">
        <v>12</v>
      </c>
      <c r="B6" s="24">
        <v>800.0</v>
      </c>
      <c r="C6" s="24">
        <v>0.0</v>
      </c>
      <c r="D6" s="25">
        <v>13.0</v>
      </c>
      <c r="F6" s="26">
        <v>4.0</v>
      </c>
      <c r="G6" s="27">
        <f t="shared" si="1"/>
        <v>14</v>
      </c>
      <c r="H6" s="26">
        <f t="shared" si="2"/>
        <v>16</v>
      </c>
      <c r="I6" s="28">
        <f>IFERROR(__xludf.DUMMYFUNCTION("ROUND(-0.4 * F6, 2)"),-1.6)</f>
        <v>-1.6</v>
      </c>
    </row>
    <row r="7">
      <c r="A7" s="29" t="s">
        <v>13</v>
      </c>
      <c r="B7" s="30">
        <v>500.0</v>
      </c>
      <c r="C7" s="30">
        <v>0.0</v>
      </c>
      <c r="D7" s="31">
        <v>0.0</v>
      </c>
      <c r="F7" s="19">
        <v>5.0</v>
      </c>
      <c r="G7" s="20">
        <f t="shared" si="1"/>
        <v>13.75</v>
      </c>
      <c r="H7" s="19">
        <f t="shared" si="2"/>
        <v>15.75</v>
      </c>
      <c r="I7" s="21">
        <f>IFERROR(__xludf.DUMMYFUNCTION("ROUND(-0.4 * F7, 2)"),-2.0)</f>
        <v>-2</v>
      </c>
    </row>
    <row r="8">
      <c r="A8" s="22" t="s">
        <v>14</v>
      </c>
      <c r="B8" s="24">
        <v>100.0</v>
      </c>
      <c r="C8" s="24">
        <v>0.0</v>
      </c>
      <c r="D8" s="25">
        <v>8.0</v>
      </c>
      <c r="F8" s="26">
        <v>6.0</v>
      </c>
      <c r="G8" s="27">
        <f t="shared" si="1"/>
        <v>13.5</v>
      </c>
      <c r="H8" s="26">
        <f t="shared" si="2"/>
        <v>15.5</v>
      </c>
      <c r="I8" s="28">
        <f>IFERROR(__xludf.DUMMYFUNCTION("ROUND(-0.4 * F8, 2)"),-2.4)</f>
        <v>-2.4</v>
      </c>
    </row>
    <row r="9">
      <c r="A9" s="29"/>
      <c r="B9" s="30"/>
      <c r="C9" s="30">
        <v>0.0</v>
      </c>
      <c r="D9" s="31">
        <v>50.0</v>
      </c>
      <c r="F9" s="19">
        <v>7.0</v>
      </c>
      <c r="G9" s="20">
        <f t="shared" si="1"/>
        <v>13.25</v>
      </c>
      <c r="H9" s="19">
        <f t="shared" si="2"/>
        <v>15.25</v>
      </c>
      <c r="I9" s="21">
        <f>IFERROR(__xludf.DUMMYFUNCTION("ROUND(-0.4 * F9, 2)"),-2.8)</f>
        <v>-2.8</v>
      </c>
    </row>
    <row r="10">
      <c r="A10" s="22"/>
      <c r="B10" s="24"/>
      <c r="C10" s="24"/>
      <c r="D10" s="25"/>
      <c r="F10" s="26">
        <v>8.0</v>
      </c>
      <c r="G10" s="27">
        <f t="shared" si="1"/>
        <v>13</v>
      </c>
      <c r="H10" s="26">
        <f t="shared" si="2"/>
        <v>15</v>
      </c>
      <c r="I10" s="28">
        <f>IFERROR(__xludf.DUMMYFUNCTION("ROUND(-0.4 * F10, 2)"),-3.2)</f>
        <v>-3.2</v>
      </c>
    </row>
    <row r="11">
      <c r="A11" s="29"/>
      <c r="B11" s="30"/>
      <c r="C11" s="30"/>
      <c r="D11" s="31"/>
      <c r="F11" s="19">
        <v>9.0</v>
      </c>
      <c r="G11" s="20">
        <f t="shared" si="1"/>
        <v>12.75</v>
      </c>
      <c r="H11" s="19">
        <f t="shared" si="2"/>
        <v>14.75</v>
      </c>
      <c r="I11" s="21">
        <f>IFERROR(__xludf.DUMMYFUNCTION("ROUND(-0.4 * F11, 2)"),-3.6)</f>
        <v>-3.6</v>
      </c>
    </row>
    <row r="12">
      <c r="A12" s="22"/>
      <c r="B12" s="24"/>
      <c r="C12" s="24"/>
      <c r="D12" s="25"/>
      <c r="F12" s="32">
        <v>10.0</v>
      </c>
      <c r="G12" s="33">
        <f t="shared" si="1"/>
        <v>12.5</v>
      </c>
      <c r="H12" s="32">
        <f t="shared" si="2"/>
        <v>14.5</v>
      </c>
      <c r="I12" s="34">
        <f>IFERROR(__xludf.DUMMYFUNCTION("ROUND(-0.4 * F12, 2)"),-4.0)</f>
        <v>-4</v>
      </c>
    </row>
    <row r="13">
      <c r="A13" s="29"/>
      <c r="B13" s="30"/>
      <c r="C13" s="30"/>
      <c r="D13" s="31"/>
      <c r="F13" s="35">
        <v>11.0</v>
      </c>
      <c r="G13" s="36">
        <f t="shared" si="1"/>
        <v>12.25</v>
      </c>
      <c r="H13" s="35">
        <f t="shared" si="2"/>
        <v>14.25</v>
      </c>
      <c r="I13" s="37">
        <f>IFERROR(__xludf.DUMMYFUNCTION("ROUND(-0.4 * F13, 2)"),-4.4)</f>
        <v>-4.4</v>
      </c>
    </row>
    <row r="14">
      <c r="A14" s="22"/>
      <c r="B14" s="24"/>
      <c r="C14" s="24"/>
      <c r="D14" s="25"/>
      <c r="F14" s="19">
        <v>12.0</v>
      </c>
      <c r="G14" s="20">
        <f t="shared" si="1"/>
        <v>12</v>
      </c>
      <c r="H14" s="19">
        <f t="shared" si="2"/>
        <v>14</v>
      </c>
      <c r="I14" s="21">
        <f>IFERROR(__xludf.DUMMYFUNCTION("ROUND(-0.4 * F14, 2)"),-4.8)</f>
        <v>-4.8</v>
      </c>
    </row>
    <row r="15">
      <c r="A15" s="29"/>
      <c r="B15" s="30"/>
      <c r="C15" s="30"/>
      <c r="D15" s="31"/>
      <c r="F15" s="19">
        <v>13.0</v>
      </c>
      <c r="G15" s="20">
        <f t="shared" si="1"/>
        <v>12</v>
      </c>
      <c r="H15" s="19">
        <f t="shared" si="2"/>
        <v>13.75</v>
      </c>
      <c r="I15" s="21">
        <f>IFERROR(__xludf.DUMMYFUNCTION("ROUND(-0.4 * F15, 2)"),-5.2)</f>
        <v>-5.2</v>
      </c>
    </row>
    <row r="16">
      <c r="A16" s="22"/>
      <c r="B16" s="24"/>
      <c r="C16" s="24"/>
      <c r="D16" s="25"/>
      <c r="F16" s="19">
        <v>14.0</v>
      </c>
      <c r="G16" s="20">
        <f t="shared" si="1"/>
        <v>12</v>
      </c>
      <c r="H16" s="19">
        <f t="shared" si="2"/>
        <v>13.5</v>
      </c>
      <c r="I16" s="21">
        <f>IFERROR(__xludf.DUMMYFUNCTION("ROUND(-0.4 * F16, 2)"),-5.6)</f>
        <v>-5.6</v>
      </c>
    </row>
    <row r="17">
      <c r="A17" s="29"/>
      <c r="B17" s="30"/>
      <c r="C17" s="30"/>
      <c r="D17" s="31"/>
      <c r="F17" s="19">
        <v>15.0</v>
      </c>
      <c r="G17" s="20">
        <f t="shared" si="1"/>
        <v>12</v>
      </c>
      <c r="H17" s="19">
        <f t="shared" si="2"/>
        <v>13.25</v>
      </c>
      <c r="I17" s="21">
        <f>IFERROR(__xludf.DUMMYFUNCTION("ROUND(-0.4 * F17, 2)"),-6.0)</f>
        <v>-6</v>
      </c>
    </row>
    <row r="18">
      <c r="A18" s="22"/>
      <c r="B18" s="24"/>
      <c r="C18" s="24"/>
      <c r="D18" s="25"/>
      <c r="F18" s="19">
        <v>16.0</v>
      </c>
      <c r="G18" s="20">
        <f t="shared" si="1"/>
        <v>12</v>
      </c>
      <c r="H18" s="19">
        <f t="shared" si="2"/>
        <v>13</v>
      </c>
      <c r="I18" s="21">
        <f>IFERROR(__xludf.DUMMYFUNCTION("ROUND(-0.4 * F18, 2)"),-6.4)</f>
        <v>-6.4</v>
      </c>
    </row>
    <row r="19">
      <c r="A19" s="29"/>
      <c r="B19" s="30"/>
      <c r="C19" s="30"/>
      <c r="D19" s="31"/>
      <c r="F19" s="19">
        <v>17.0</v>
      </c>
      <c r="G19" s="20">
        <f t="shared" si="1"/>
        <v>12</v>
      </c>
      <c r="H19" s="19">
        <f t="shared" si="2"/>
        <v>12.75</v>
      </c>
      <c r="I19" s="21">
        <f>IFERROR(__xludf.DUMMYFUNCTION("ROUND(-0.4 * F19, 2)"),-6.8)</f>
        <v>-6.8</v>
      </c>
    </row>
    <row r="20">
      <c r="A20" s="22"/>
      <c r="B20" s="24"/>
      <c r="C20" s="24"/>
      <c r="D20" s="25"/>
      <c r="F20" s="19">
        <v>18.0</v>
      </c>
      <c r="G20" s="20">
        <f t="shared" si="1"/>
        <v>12</v>
      </c>
      <c r="H20" s="19">
        <f t="shared" si="2"/>
        <v>12.5</v>
      </c>
      <c r="I20" s="21">
        <f>IFERROR(__xludf.DUMMYFUNCTION("ROUND(-0.4 * F20, 2)"),-7.2)</f>
        <v>-7.2</v>
      </c>
    </row>
    <row r="21" ht="15.75" customHeight="1">
      <c r="A21" s="22"/>
      <c r="B21" s="24"/>
      <c r="C21" s="24"/>
      <c r="D21" s="25"/>
      <c r="F21" s="19">
        <v>19.0</v>
      </c>
      <c r="G21" s="20">
        <f t="shared" si="1"/>
        <v>12</v>
      </c>
      <c r="H21" s="19">
        <f t="shared" si="2"/>
        <v>12.25</v>
      </c>
      <c r="I21" s="21">
        <f>IFERROR(__xludf.DUMMYFUNCTION("ROUND(-0.4 * F21, 2)"),-7.6)</f>
        <v>-7.6</v>
      </c>
    </row>
    <row r="22" ht="15.75" customHeight="1">
      <c r="A22" s="29"/>
      <c r="B22" s="30"/>
      <c r="C22" s="30"/>
      <c r="D22" s="31"/>
      <c r="F22" s="38">
        <v>20.0</v>
      </c>
      <c r="G22" s="39">
        <f t="shared" si="1"/>
        <v>12</v>
      </c>
      <c r="H22" s="38">
        <f t="shared" si="2"/>
        <v>12</v>
      </c>
      <c r="I22" s="40">
        <f>IFERROR(__xludf.DUMMYFUNCTION("ROUND(-0.4 * F22, 2)"),-8.0)</f>
        <v>-8</v>
      </c>
    </row>
    <row r="23" ht="15.75" customHeight="1">
      <c r="A23" s="22"/>
      <c r="B23" s="24"/>
      <c r="C23" s="24"/>
      <c r="D23" s="25"/>
    </row>
    <row r="24" ht="15.0" customHeight="1">
      <c r="A24" s="29"/>
      <c r="B24" s="30"/>
      <c r="C24" s="30"/>
      <c r="D24" s="31"/>
      <c r="F24" s="41" t="s">
        <v>15</v>
      </c>
      <c r="G24" s="42"/>
      <c r="H24" s="42"/>
      <c r="I24" s="43"/>
    </row>
    <row r="25" ht="15.75" customHeight="1">
      <c r="A25" s="22"/>
      <c r="B25" s="24"/>
      <c r="C25" s="24"/>
      <c r="D25" s="25"/>
      <c r="F25" s="44"/>
      <c r="I25" s="45"/>
    </row>
    <row r="26" ht="15.75" customHeight="1">
      <c r="A26" s="46"/>
      <c r="B26" s="47"/>
      <c r="C26" s="47"/>
      <c r="D26" s="48"/>
      <c r="F26" s="44"/>
      <c r="I26" s="45"/>
    </row>
    <row r="27" ht="15.75" customHeight="1">
      <c r="A27" s="49" t="s">
        <v>16</v>
      </c>
      <c r="B27" s="50">
        <f>SUM(B4:B26)</f>
        <v>2000</v>
      </c>
      <c r="C27" s="51"/>
      <c r="D27" s="52"/>
      <c r="F27" s="44"/>
      <c r="I27" s="45"/>
    </row>
    <row r="28" ht="15.75" customHeight="1">
      <c r="A28" s="53" t="s">
        <v>17</v>
      </c>
      <c r="B28" s="54">
        <f>SUMPRODUCT(B4:B26, C4:C26)/B27</f>
        <v>4</v>
      </c>
      <c r="C28" s="55"/>
      <c r="D28" s="56"/>
      <c r="F28" s="44"/>
      <c r="I28" s="45"/>
    </row>
    <row r="29" ht="15.75" customHeight="1">
      <c r="A29" s="57" t="s">
        <v>18</v>
      </c>
      <c r="B29" s="58">
        <f>SUMPRODUCT(B4:B26, D4:D26)/B27</f>
        <v>13.6</v>
      </c>
      <c r="C29" s="55"/>
      <c r="D29" s="56"/>
      <c r="F29" s="44"/>
      <c r="I29" s="45"/>
    </row>
    <row r="30" ht="15.75" customHeight="1">
      <c r="A30" s="53" t="s">
        <v>19</v>
      </c>
      <c r="B30" s="54">
        <f>IFERROR(__xludf.DUMMYFUNCTION("IF($B$27=0,"""",ROUND(-0.4*$B$28-0.12*$B$29,2))"),-3.23)</f>
        <v>-3.23</v>
      </c>
      <c r="C30" s="55"/>
      <c r="D30" s="56"/>
      <c r="F30" s="44"/>
      <c r="I30" s="45"/>
    </row>
    <row r="31" ht="15.75" customHeight="1">
      <c r="A31" s="57" t="s">
        <v>20</v>
      </c>
      <c r="B31" s="58">
        <f>IF($B$27=0, "", MIN(0, $B$30 + 3))</f>
        <v>-0.23</v>
      </c>
      <c r="C31" s="55"/>
      <c r="D31" s="56"/>
      <c r="F31" s="44"/>
      <c r="I31" s="45"/>
    </row>
    <row r="32" ht="16.5" customHeight="1">
      <c r="A32" s="59" t="s">
        <v>21</v>
      </c>
      <c r="B32" s="60" t="str">
        <f>IF($B$28&gt;10,
     "Too boozy – won’t slush; dilute or lower ABV",
 IF($B$29&lt;12,
     "Too little sugar – will ice solid; add syrup",
 IF($B$29&gt;20,
     "Too sweet – stays syrupy; cut sugar or dilute",
 IF($B$31 &lt; (MIN($D$1,$D$2)+3),
     IF($B$28&gt;=8,
        "Freezing point below machine range; reduce ABV first",
        "Freezing point below machine range; boost sugar (raise Brix)"),
 IF($B$28&gt;=8,
     "Near 10% ABV limit – consider trimming ABV",
 "Slush OK")))))</f>
        <v>Slush OK</v>
      </c>
      <c r="C32" s="61"/>
      <c r="D32" s="62"/>
      <c r="F32" s="44"/>
      <c r="I32" s="45"/>
    </row>
    <row r="33" ht="15.0" customHeight="1">
      <c r="A33" s="63"/>
      <c r="B33" s="64"/>
      <c r="D33" s="45"/>
      <c r="F33" s="44"/>
      <c r="I33" s="45"/>
    </row>
    <row r="34" ht="15.0" customHeight="1">
      <c r="A34" s="63"/>
      <c r="B34" s="64"/>
      <c r="D34" s="45"/>
      <c r="F34" s="44"/>
      <c r="I34" s="45"/>
    </row>
    <row r="35" ht="15.75" customHeight="1">
      <c r="A35" s="8"/>
      <c r="B35" s="65"/>
      <c r="C35" s="66"/>
      <c r="D35" s="67"/>
      <c r="F35" s="68"/>
      <c r="G35" s="66"/>
      <c r="H35" s="66"/>
      <c r="I35" s="67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29:D29"/>
    <mergeCell ref="B30:D30"/>
    <mergeCell ref="B31:D31"/>
    <mergeCell ref="A32:A35"/>
    <mergeCell ref="B32:D35"/>
    <mergeCell ref="A1:A2"/>
    <mergeCell ref="B1:C1"/>
    <mergeCell ref="B2:C2"/>
    <mergeCell ref="K2:Q35"/>
    <mergeCell ref="F24:I35"/>
    <mergeCell ref="B27:D27"/>
    <mergeCell ref="B28:D28"/>
  </mergeCells>
  <conditionalFormatting sqref="B32:D35">
    <cfRule type="cellIs" dxfId="0" priority="1" operator="equal">
      <formula>"Slush OK"</formula>
    </cfRule>
  </conditionalFormatting>
  <conditionalFormatting sqref="B32:D35">
    <cfRule type="cellIs" dxfId="1" priority="2" operator="equal">
      <formula>"Near 10% ABV limit – consider trimming ABV"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2025-07-15T14:03:51Z</dcterms:created>
  <dc:creator>Adam Scott</dc:creator>
</cp:coreProperties>
</file>